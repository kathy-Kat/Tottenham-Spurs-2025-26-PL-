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mylifeunisaac-my.sharepoint.com/personal/21498407_mylife_unisa_ac_za/Documents/POWER BI 2025/"/>
    </mc:Choice>
  </mc:AlternateContent>
  <xr:revisionPtr revIDLastSave="0" documentId="14_{6F36753B-AEA2-4DD7-B37C-DE1EA634D19B}" xr6:coauthVersionLast="47" xr6:coauthVersionMax="47" xr10:uidLastSave="{00000000-0000-0000-0000-000000000000}"/>
  <bookViews>
    <workbookView xWindow="-108" yWindow="-108" windowWidth="23256" windowHeight="12456" xr2:uid="{1D9761E2-A839-4D2A-A531-82963E5FB008}"/>
  </bookViews>
  <sheets>
    <sheet name="Main (Stats)" sheetId="1" r:id="rId1"/>
    <sheet name="Performance" sheetId="2" r:id="rId2"/>
  </sheets>
  <definedNames>
    <definedName name="_xlnm._FilterDatabase" localSheetId="0" hidden="1">'Main (Stats)'!$B$1:$L$27</definedName>
    <definedName name="_xlcn.WorksheetConnection_SquadC1C29" hidden="1">'Main (Stats)'!$Q$1:$Q$29</definedName>
    <definedName name="_xlcn.WorksheetConnection_SquadC2L29" hidden="1">'Main (Stats)'!$Q$2:$Q$29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quad!$C$1:$C$29"/>
          <x15:modelTable id="Range 1" name="Range 1" connection="WorksheetConnection_Squad!$C$2:$L$29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DOB/ Age" columnId="DOB  Age">
                <x16:calculatedTimeColumn columnName="DOB/ Age (Year)" columnId="DOB  Age (Year)" contentType="years" isSelected="1"/>
                <x16:calculatedTimeColumn columnName="DOB/ Age (Quarter)" columnId="DOB  Age (Quarter)" contentType="quarters" isSelected="1"/>
                <x16:calculatedTimeColumn columnName="DOB/ Age (Month Index)" columnId="DOB  Age (Month Index)" contentType="monthsindex" isSelected="1"/>
                <x16:calculatedTimeColumn columnName="DOB/ Age (Month)" columnId="DOB  Ag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A4" i="2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E2" i="1"/>
  <c r="F2" i="1" s="1"/>
  <c r="K2" i="1"/>
  <c r="E3" i="1"/>
  <c r="F3" i="1" s="1"/>
  <c r="K3" i="1"/>
  <c r="E4" i="1"/>
  <c r="F4" i="1" s="1"/>
  <c r="K4" i="1"/>
  <c r="E5" i="1"/>
  <c r="F5" i="1" s="1"/>
  <c r="K5" i="1"/>
  <c r="E6" i="1"/>
  <c r="F6" i="1" s="1"/>
  <c r="K6" i="1"/>
  <c r="E7" i="1"/>
  <c r="F7" i="1" s="1"/>
  <c r="K7" i="1"/>
  <c r="E8" i="1"/>
  <c r="F8" i="1" s="1"/>
  <c r="K8" i="1"/>
  <c r="E9" i="1"/>
  <c r="F9" i="1" s="1"/>
  <c r="K9" i="1"/>
  <c r="E10" i="1"/>
  <c r="F10" i="1"/>
  <c r="K10" i="1"/>
  <c r="E11" i="1"/>
  <c r="F11" i="1" s="1"/>
  <c r="K11" i="1"/>
  <c r="E12" i="1"/>
  <c r="F12" i="1" s="1"/>
  <c r="K12" i="1"/>
  <c r="E13" i="1"/>
  <c r="F13" i="1" s="1"/>
  <c r="K13" i="1"/>
  <c r="E14" i="1"/>
  <c r="F14" i="1" s="1"/>
  <c r="K14" i="1"/>
  <c r="E15" i="1"/>
  <c r="F15" i="1"/>
  <c r="K15" i="1"/>
  <c r="F16" i="1"/>
  <c r="K16" i="1"/>
  <c r="E17" i="1"/>
  <c r="F17" i="1" s="1"/>
  <c r="K17" i="1"/>
  <c r="E18" i="1"/>
  <c r="F18" i="1" s="1"/>
  <c r="K18" i="1"/>
  <c r="E19" i="1"/>
  <c r="F19" i="1" s="1"/>
  <c r="K19" i="1"/>
  <c r="E20" i="1"/>
  <c r="F20" i="1" s="1"/>
  <c r="K20" i="1"/>
  <c r="E21" i="1"/>
  <c r="F21" i="1" s="1"/>
  <c r="K21" i="1"/>
  <c r="E22" i="1"/>
  <c r="F22" i="1" s="1"/>
  <c r="K22" i="1"/>
  <c r="E23" i="1"/>
  <c r="F23" i="1" s="1"/>
  <c r="K23" i="1"/>
  <c r="E24" i="1"/>
  <c r="F24" i="1" s="1"/>
  <c r="K24" i="1"/>
  <c r="E25" i="1"/>
  <c r="F25" i="1" s="1"/>
  <c r="K25" i="1"/>
  <c r="E26" i="1"/>
  <c r="F26" i="1" s="1"/>
  <c r="K26" i="1"/>
  <c r="E27" i="1"/>
  <c r="F27" i="1"/>
  <c r="K27" i="1"/>
  <c r="A2" i="2"/>
  <c r="A3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28FB15-BAF8-48CF-96F5-8EF505A677F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0CA899B-5D07-4F51-8208-85DC123A49C3}" name="WorksheetConnection_Squad!$C$1:$C$29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quadC1C29"/>
        </x15:connection>
      </ext>
    </extLst>
  </connection>
  <connection id="3" xr16:uid="{A690654C-4D22-487F-A802-E7693A19732C}" name="WorksheetConnection_Squad!$C$2:$L$29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SquadC2L29"/>
        </x15:connection>
      </ext>
    </extLst>
  </connection>
</connections>
</file>

<file path=xl/sharedStrings.xml><?xml version="1.0" encoding="utf-8"?>
<sst xmlns="http://schemas.openxmlformats.org/spreadsheetml/2006/main" count="149" uniqueCount="72">
  <si>
    <t>Position</t>
  </si>
  <si>
    <t>Market Value (€)</t>
  </si>
  <si>
    <t>Nationality</t>
  </si>
  <si>
    <t>Goals</t>
  </si>
  <si>
    <t>Assists</t>
  </si>
  <si>
    <t>Appearance</t>
  </si>
  <si>
    <t>DOB/ Age</t>
  </si>
  <si>
    <t>Goalkeeper</t>
  </si>
  <si>
    <t>Micky van de Ven</t>
  </si>
  <si>
    <t>Centre-Back</t>
  </si>
  <si>
    <t>Cristian Romero</t>
  </si>
  <si>
    <t>Centre-back</t>
  </si>
  <si>
    <t>Radu Drăgușin</t>
  </si>
  <si>
    <t>Kevin Danso</t>
  </si>
  <si>
    <t>Ben Davies</t>
  </si>
  <si>
    <t>Destiny Udogie</t>
  </si>
  <si>
    <t>Djed Spence</t>
  </si>
  <si>
    <t>Left-Back</t>
  </si>
  <si>
    <t>Pedro Porro</t>
  </si>
  <si>
    <t>Right-Back</t>
  </si>
  <si>
    <t>Rodrigo Bentancur</t>
  </si>
  <si>
    <t>Defensive Midfield</t>
  </si>
  <si>
    <t>João Palhinha</t>
  </si>
  <si>
    <t>Yves Bissouma</t>
  </si>
  <si>
    <t>Lucas Bergvall</t>
  </si>
  <si>
    <t>Central Midfield</t>
  </si>
  <si>
    <t>Archie Gray</t>
  </si>
  <si>
    <t>Conor Gallagher</t>
  </si>
  <si>
    <t>Pape Matar Sarr</t>
  </si>
  <si>
    <t>Xavi Simons</t>
  </si>
  <si>
    <t>Attacking Midfield</t>
  </si>
  <si>
    <t>Dejan Kulusevski</t>
  </si>
  <si>
    <t>James Maddison</t>
  </si>
  <si>
    <t>Wilson Odobert</t>
  </si>
  <si>
    <t>Left-Winger</t>
  </si>
  <si>
    <t>Mohammed Kudus</t>
  </si>
  <si>
    <t>Right-Winger</t>
  </si>
  <si>
    <t>Dominic Solanke</t>
  </si>
  <si>
    <t>Centre-Forward</t>
  </si>
  <si>
    <t>Mathys Tel</t>
  </si>
  <si>
    <t>Randal Kolo Muani</t>
  </si>
  <si>
    <t>Foot</t>
  </si>
  <si>
    <t>right</t>
  </si>
  <si>
    <t>left</t>
  </si>
  <si>
    <t>Wk. Salary (£)</t>
  </si>
  <si>
    <t>Guglielmo Vicario</t>
  </si>
  <si>
    <t>Height (m)</t>
  </si>
  <si>
    <t>Total Gr. P/Y</t>
  </si>
  <si>
    <t>Age</t>
  </si>
  <si>
    <t xml:space="preserve">Name </t>
  </si>
  <si>
    <t>Player ID</t>
  </si>
  <si>
    <t xml:space="preserve">P/A </t>
  </si>
  <si>
    <t>Italy</t>
  </si>
  <si>
    <t>England</t>
  </si>
  <si>
    <t>Netherlands</t>
  </si>
  <si>
    <t>Argentina</t>
  </si>
  <si>
    <t>Romania</t>
  </si>
  <si>
    <t>Austria</t>
  </si>
  <si>
    <t>United Kingdom</t>
  </si>
  <si>
    <t>Brazil</t>
  </si>
  <si>
    <t>Spain</t>
  </si>
  <si>
    <t>Uruguay</t>
  </si>
  <si>
    <t>Portugal</t>
  </si>
  <si>
    <t>Mali</t>
  </si>
  <si>
    <t>Sweden</t>
  </si>
  <si>
    <t>Senegal</t>
  </si>
  <si>
    <t>France</t>
  </si>
  <si>
    <t>Ghana</t>
  </si>
  <si>
    <t>Richarlison de Andrade</t>
  </si>
  <si>
    <t>Goal Contr.</t>
  </si>
  <si>
    <t>EA Sports Rating</t>
  </si>
  <si>
    <t>João Souza Menezes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</si>
</sst>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&quot;* #,##0.00_-;\-&quot;R&quot;* #,##0.00_-;_-&quot;R&quot;* &quot;-&quot;??_-;_-@_-"/>
    <numFmt numFmtId="164" formatCode="_-[$€-2]\ * #,##0.00_-;\-[$€-2]\ * #,##0.00_-;_-[$€-2]\ * &quot;-&quot;??_-;_-@_-"/>
    <numFmt numFmtId="165" formatCode="yyyy\-mm\-dd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14"/>
      <name val="Source Sans Pro"/>
      <family val="2"/>
    </font>
    <font>
      <sz val="12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2">
    <xf numFmtId="0" fontId="0" fillId="0" borderId="0" xfId="0"/>
    <xf numFmtId="164" fontId="0" fillId="0" borderId="0" xfId="1" applyNumberFormat="1" applyFont="1"/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3" fillId="2" borderId="8" xfId="0" applyFont="1" applyFill="1" applyBorder="1" applyAlignment="1">
      <alignment horizontal="center"/>
    </xf>
    <xf numFmtId="164" fontId="3" fillId="2" borderId="11" xfId="1" applyNumberFormat="1" applyFont="1" applyFill="1" applyBorder="1" applyAlignment="1">
      <alignment horizontal="center"/>
    </xf>
    <xf numFmtId="0" fontId="5" fillId="0" borderId="0" xfId="0" applyFont="1"/>
    <xf numFmtId="0" fontId="6" fillId="3" borderId="2" xfId="2" applyFont="1" applyFill="1" applyBorder="1" applyAlignment="1"/>
    <xf numFmtId="0" fontId="6" fillId="0" borderId="4" xfId="2" applyFont="1" applyBorder="1" applyAlignment="1"/>
    <xf numFmtId="0" fontId="5" fillId="0" borderId="4" xfId="0" applyFont="1" applyBorder="1"/>
    <xf numFmtId="0" fontId="6" fillId="3" borderId="4" xfId="2" applyFont="1" applyFill="1" applyBorder="1" applyAlignment="1"/>
    <xf numFmtId="0" fontId="5" fillId="3" borderId="4" xfId="0" applyFont="1" applyFill="1" applyBorder="1"/>
    <xf numFmtId="0" fontId="5" fillId="0" borderId="9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3" borderId="9" xfId="0" applyFont="1" applyFill="1" applyBorder="1" applyAlignment="1">
      <alignment wrapText="1"/>
    </xf>
    <xf numFmtId="0" fontId="5" fillId="3" borderId="4" xfId="0" applyFont="1" applyFill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6" xfId="0" applyFont="1" applyBorder="1"/>
    <xf numFmtId="49" fontId="5" fillId="3" borderId="7" xfId="0" applyNumberFormat="1" applyFont="1" applyFill="1" applyBorder="1"/>
    <xf numFmtId="0" fontId="5" fillId="3" borderId="2" xfId="0" applyFont="1" applyFill="1" applyBorder="1"/>
    <xf numFmtId="165" fontId="5" fillId="3" borderId="2" xfId="0" applyNumberFormat="1" applyFont="1" applyFill="1" applyBorder="1"/>
    <xf numFmtId="1" fontId="5" fillId="3" borderId="2" xfId="0" applyNumberFormat="1" applyFont="1" applyFill="1" applyBorder="1"/>
    <xf numFmtId="2" fontId="5" fillId="3" borderId="2" xfId="0" applyNumberFormat="1" applyFont="1" applyFill="1" applyBorder="1" applyAlignment="1">
      <alignment horizontal="right"/>
    </xf>
    <xf numFmtId="0" fontId="5" fillId="3" borderId="2" xfId="1" applyNumberFormat="1" applyFont="1" applyFill="1" applyBorder="1" applyAlignment="1"/>
    <xf numFmtId="0" fontId="6" fillId="3" borderId="3" xfId="1" applyNumberFormat="1" applyFont="1" applyFill="1" applyBorder="1" applyAlignment="1"/>
    <xf numFmtId="0" fontId="6" fillId="0" borderId="9" xfId="2" applyFont="1" applyBorder="1" applyAlignment="1"/>
    <xf numFmtId="49" fontId="5" fillId="0" borderId="7" xfId="0" applyNumberFormat="1" applyFont="1" applyBorder="1"/>
    <xf numFmtId="165" fontId="5" fillId="0" borderId="4" xfId="0" applyNumberFormat="1" applyFont="1" applyBorder="1"/>
    <xf numFmtId="1" fontId="5" fillId="0" borderId="4" xfId="0" applyNumberFormat="1" applyFont="1" applyBorder="1"/>
    <xf numFmtId="2" fontId="5" fillId="0" borderId="4" xfId="0" applyNumberFormat="1" applyFont="1" applyBorder="1" applyAlignment="1">
      <alignment horizontal="right"/>
    </xf>
    <xf numFmtId="0" fontId="5" fillId="0" borderId="4" xfId="1" applyNumberFormat="1" applyFont="1" applyBorder="1" applyAlignment="1"/>
    <xf numFmtId="0" fontId="6" fillId="0" borderId="5" xfId="1" applyNumberFormat="1" applyFont="1" applyBorder="1" applyAlignment="1"/>
    <xf numFmtId="0" fontId="6" fillId="3" borderId="9" xfId="2" applyFont="1" applyFill="1" applyBorder="1" applyAlignment="1"/>
    <xf numFmtId="165" fontId="5" fillId="3" borderId="4" xfId="0" applyNumberFormat="1" applyFont="1" applyFill="1" applyBorder="1"/>
    <xf numFmtId="2" fontId="5" fillId="3" borderId="4" xfId="0" applyNumberFormat="1" applyFont="1" applyFill="1" applyBorder="1" applyAlignment="1">
      <alignment horizontal="right"/>
    </xf>
    <xf numFmtId="0" fontId="5" fillId="3" borderId="4" xfId="1" applyNumberFormat="1" applyFont="1" applyFill="1" applyBorder="1" applyAlignment="1"/>
    <xf numFmtId="0" fontId="6" fillId="3" borderId="5" xfId="1" applyNumberFormat="1" applyFont="1" applyFill="1" applyBorder="1" applyAlignment="1"/>
    <xf numFmtId="49" fontId="5" fillId="0" borderId="1" xfId="0" applyNumberFormat="1" applyFont="1" applyBorder="1"/>
    <xf numFmtId="165" fontId="5" fillId="0" borderId="6" xfId="0" applyNumberFormat="1" applyFont="1" applyBorder="1"/>
    <xf numFmtId="2" fontId="5" fillId="0" borderId="6" xfId="0" applyNumberFormat="1" applyFont="1" applyBorder="1" applyAlignment="1">
      <alignment horizontal="right"/>
    </xf>
    <xf numFmtId="0" fontId="5" fillId="0" borderId="6" xfId="1" applyNumberFormat="1" applyFont="1" applyBorder="1" applyAlignment="1"/>
    <xf numFmtId="0" fontId="6" fillId="0" borderId="1" xfId="1" applyNumberFormat="1" applyFont="1" applyBorder="1" applyAlignment="1"/>
    <xf numFmtId="0" fontId="7" fillId="0" borderId="0" xfId="0" applyFont="1"/>
    <xf numFmtId="0" fontId="8" fillId="3" borderId="2" xfId="2" applyFont="1" applyFill="1" applyBorder="1" applyAlignment="1"/>
    <xf numFmtId="0" fontId="7" fillId="3" borderId="7" xfId="0" applyFont="1" applyFill="1" applyBorder="1"/>
    <xf numFmtId="0" fontId="7" fillId="3" borderId="8" xfId="0" applyFont="1" applyFill="1" applyBorder="1"/>
    <xf numFmtId="0" fontId="8" fillId="0" borderId="9" xfId="2" applyFont="1" applyBorder="1"/>
    <xf numFmtId="0" fontId="8" fillId="0" borderId="4" xfId="2" applyFont="1" applyBorder="1" applyAlignment="1"/>
    <xf numFmtId="0" fontId="7" fillId="0" borderId="7" xfId="0" applyFont="1" applyBorder="1"/>
    <xf numFmtId="0" fontId="7" fillId="0" borderId="4" xfId="0" applyFont="1" applyBorder="1"/>
    <xf numFmtId="0" fontId="8" fillId="3" borderId="9" xfId="2" applyFont="1" applyFill="1" applyBorder="1"/>
    <xf numFmtId="0" fontId="8" fillId="3" borderId="4" xfId="2" applyFont="1" applyFill="1" applyBorder="1" applyAlignment="1"/>
    <xf numFmtId="0" fontId="7" fillId="3" borderId="4" xfId="0" applyFont="1" applyFill="1" applyBorder="1"/>
    <xf numFmtId="0" fontId="7" fillId="0" borderId="9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7" fillId="0" borderId="10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1" xfId="0" applyFont="1" applyBorder="1"/>
    <xf numFmtId="0" fontId="7" fillId="0" borderId="6" xfId="0" applyFont="1" applyBorder="1"/>
    <xf numFmtId="0" fontId="7" fillId="3" borderId="2" xfId="1" applyNumberFormat="1" applyFont="1" applyFill="1" applyBorder="1"/>
    <xf numFmtId="0" fontId="7" fillId="0" borderId="4" xfId="1" applyNumberFormat="1" applyFont="1" applyBorder="1"/>
    <xf numFmtId="0" fontId="7" fillId="3" borderId="4" xfId="1" applyNumberFormat="1" applyFont="1" applyFill="1" applyBorder="1"/>
    <xf numFmtId="0" fontId="7" fillId="0" borderId="6" xfId="1" applyNumberFormat="1" applyFont="1" applyBorder="1"/>
    <xf numFmtId="0" fontId="9" fillId="0" borderId="0" xfId="0" applyFont="1"/>
    <xf numFmtId="0" fontId="10" fillId="0" borderId="0" xfId="0" applyFont="1"/>
  </cellXfs>
  <cellStyles count="3">
    <cellStyle name="Currency" xfId="1" builtinId="4"/>
    <cellStyle name="Hyperlink" xfId="2" builtinId="8"/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rgb="FFFFFFCC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alignment vertical="bottom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vertical="bottom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strike val="0"/>
        <outline val="0"/>
        <shadow val="0"/>
        <u val="none"/>
        <vertAlign val="baseline"/>
        <sz val="12"/>
      </font>
      <alignment vertical="bottom" textRotation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vertical="bottom" textRotation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/>
      </border>
    </dxf>
    <dxf>
      <font>
        <strike val="0"/>
        <outline val="0"/>
        <shadow val="0"/>
        <u val="none"/>
        <vertAlign val="baseline"/>
        <sz val="12"/>
      </font>
      <alignment vertical="bottom" textRotation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/>
      </border>
    </dxf>
    <dxf>
      <font>
        <strike val="0"/>
        <outline val="0"/>
        <shadow val="0"/>
        <u val="none"/>
        <vertAlign val="baseline"/>
        <sz val="12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/>
      </border>
    </dxf>
    <dxf>
      <font>
        <strike val="0"/>
        <outline val="0"/>
        <shadow val="0"/>
        <u val="none"/>
        <vertAlign val="baseline"/>
        <sz val="12"/>
      </font>
      <numFmt numFmtId="1" formatCode="0"/>
      <alignment vertical="bottom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strike val="0"/>
        <outline val="0"/>
        <shadow val="0"/>
        <u val="none"/>
        <vertAlign val="baseline"/>
        <sz val="12"/>
      </font>
      <numFmt numFmtId="165" formatCode="yyyy\-mm\-dd;@"/>
      <alignment vertical="bottom" textRotation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/>
      </border>
    </dxf>
    <dxf>
      <font>
        <strike val="0"/>
        <outline val="0"/>
        <shadow val="0"/>
        <u val="none"/>
        <vertAlign val="baseline"/>
        <sz val="12"/>
      </font>
      <numFmt numFmtId="0" formatCode="General"/>
      <alignment vertical="bottom" textRotation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/>
      </border>
    </dxf>
    <dxf>
      <font>
        <strike val="0"/>
        <outline val="0"/>
        <shadow val="0"/>
        <u val="none"/>
        <vertAlign val="baseline"/>
        <sz val="12"/>
      </font>
      <numFmt numFmtId="30" formatCode="@"/>
      <alignment vertical="bottom" textRotation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strike val="0"/>
        <outline val="0"/>
        <shadow val="0"/>
        <u val="none"/>
        <vertAlign val="baseline"/>
        <sz val="12"/>
      </font>
      <alignment horizontal="general" vertical="bottom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strike val="0"/>
        <outline val="0"/>
        <shadow val="0"/>
        <u val="none"/>
        <vertAlign val="baseline"/>
        <sz val="12"/>
      </font>
      <numFmt numFmtId="0" formatCode="General"/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border outline="0">
        <left style="thin">
          <color theme="1"/>
        </left>
        <top style="medium">
          <color theme="1"/>
        </top>
      </border>
    </dxf>
    <dxf>
      <font>
        <strike val="0"/>
        <outline val="0"/>
        <shadow val="0"/>
        <u val="none"/>
        <vertAlign val="baseline"/>
        <sz val="12"/>
      </font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theme="1"/>
        </left>
        <right/>
        <top style="thin">
          <color theme="1"/>
        </top>
        <bottom/>
      </border>
    </dxf>
    <dxf>
      <font>
        <strike val="0"/>
        <outline val="0"/>
        <shadow val="0"/>
        <u val="none"/>
        <vertAlign val="baseline"/>
        <sz val="14"/>
      </font>
      <numFmt numFmtId="0" formatCode="General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strike val="0"/>
        <outline val="0"/>
        <shadow val="0"/>
        <u val="none"/>
        <vertAlign val="baseline"/>
        <sz val="14"/>
      </font>
      <border diagonalUp="0" diagonalDown="0" outline="0">
        <left style="thin">
          <color theme="1"/>
        </left>
        <right/>
        <top style="thin">
          <color theme="1"/>
        </top>
        <bottom/>
      </border>
    </dxf>
    <dxf>
      <font>
        <strike val="0"/>
        <outline val="0"/>
        <shadow val="0"/>
        <u val="none"/>
        <vertAlign val="baseline"/>
        <sz val="14"/>
      </font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4"/>
      </font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4"/>
      </font>
      <alignment horizontal="general" vertical="bottom" textRotation="0" wrapText="1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/>
      </border>
    </dxf>
    <dxf>
      <font>
        <strike val="0"/>
        <outline val="0"/>
        <shadow val="0"/>
        <u val="none"/>
        <vertAlign val="baseline"/>
        <sz val="14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strike val="0"/>
        <outline val="0"/>
        <shadow val="0"/>
        <u val="none"/>
        <vertAlign val="baseline"/>
        <sz val="14"/>
      </font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FAD2CB-9FD7-4FD9-AC63-6B26326F55BD}" name="Table1" displayName="Table1" ref="A1:L27" totalsRowShown="0" headerRowDxfId="28" dataDxfId="27" tableBorderDxfId="26">
  <tableColumns count="12">
    <tableColumn id="1" xr3:uid="{D0D3CA65-27B6-4AD7-9F45-BDEFE58830A9}" name="Player ID" dataDxfId="25">
      <calculatedColumnFormula>"TOT"&amp;TEXT(ROW(A2)-1,"000")</calculatedColumnFormula>
    </tableColumn>
    <tableColumn id="2" xr3:uid="{06C53A43-DB1D-46B1-B851-5D67C465DADE}" name="Name " dataDxfId="24"/>
    <tableColumn id="3" xr3:uid="{37F85A93-4620-4DBF-A7B4-4E0BA43357A2}" name="Position" dataDxfId="23"/>
    <tableColumn id="4" xr3:uid="{C6B3E9EB-4F69-4073-B356-C8830F9642BA}" name="Nationality" dataDxfId="22"/>
    <tableColumn id="6" xr3:uid="{D42A422E-1187-4F6C-9B22-6AAE5FACFC9B}" name="DOB/ Age" dataDxfId="21"/>
    <tableColumn id="7" xr3:uid="{EF16736E-5370-4DCC-90AB-1E6F1BAE22A8}" name="Age" dataDxfId="20">
      <calculatedColumnFormula>DATEDIF(E2, TODAY(), "y")</calculatedColumnFormula>
    </tableColumn>
    <tableColumn id="8" xr3:uid="{53E69A65-9ACB-4DC8-AD56-87A6A952DC06}" name="Height (m)" dataDxfId="19"/>
    <tableColumn id="9" xr3:uid="{2DE5B5D7-E44E-4C36-957A-38DF925DCF5A}" name="Foot" dataDxfId="18"/>
    <tableColumn id="10" xr3:uid="{B7EBBB1E-0EBD-4C8E-9FE3-4031BD34D68A}" name="Wk. Salary (£)" dataDxfId="17" dataCellStyle="Currency"/>
    <tableColumn id="11" xr3:uid="{93CD15EB-6DDC-42FF-A189-C1CAB62061FA}" name="P/A " dataDxfId="16"/>
    <tableColumn id="12" xr3:uid="{470D2445-5FEB-442F-950F-1DCAB9281138}" name="Total Gr. P/Y" dataDxfId="15" dataCellStyle="Currency">
      <calculatedColumnFormula>PRODUCT(I2,J2)</calculatedColumnFormula>
    </tableColumn>
    <tableColumn id="13" xr3:uid="{CA6C8EF5-309C-41C7-AFD0-0116EBD87EEA}" name="Market Value (€)" dataDxfId="14" dataCellStyle="Currency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EA7F15-FDB7-45B1-B685-CAA1856ADFDA}" name="Table3" displayName="Table3" ref="A1:G27" totalsRowShown="0" dataDxfId="36">
  <autoFilter ref="A1:G27" xr:uid="{F8EA7F15-FDB7-45B1-B685-CAA1856ADFDA}"/>
  <tableColumns count="7">
    <tableColumn id="1" xr3:uid="{ACA9C51E-2E62-40A9-B49B-709CA170D07E}" name="Player ID" dataDxfId="35">
      <calculatedColumnFormula>"TOT"&amp;TEXT(ROW(A2)-1,"000")</calculatedColumnFormula>
    </tableColumn>
    <tableColumn id="5" xr3:uid="{7609954D-BCCB-429E-A889-E7136B7116BD}" name="Name " dataDxfId="34"/>
    <tableColumn id="2" xr3:uid="{090E03E1-60EB-4472-B04F-7BF64CAF185E}" name="Appearance" dataDxfId="33"/>
    <tableColumn id="3" xr3:uid="{D7D07445-015C-4AB4-A111-63B3CFF1715A}" name="Goals" dataDxfId="32"/>
    <tableColumn id="4" xr3:uid="{F939EDC9-229D-44C8-8AFF-1CBC7BEB5F90}" name="Assists" dataDxfId="31"/>
    <tableColumn id="7" xr3:uid="{0548B83D-E2BF-4901-A512-4D4D5DB13065}" name="Goal Contr." dataDxfId="30">
      <calculatedColumnFormula>SUM(Table3[[#This Row],[Goals]:[Assists]])</calculatedColumnFormula>
    </tableColumn>
    <tableColumn id="8" xr3:uid="{D6C3AC12-E31C-4528-9500-023C3393841A}" name="EA Sports Rating" dataDxfId="29" dataCellStyle="Currency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374A1-4EA0-4E05-B357-5772C9442D2D}">
  <dimension ref="A1:L50"/>
  <sheetViews>
    <sheetView tabSelected="1" zoomScale="81" zoomScaleNormal="81" workbookViewId="0">
      <selection activeCell="O18" sqref="O18"/>
    </sheetView>
  </sheetViews>
  <sheetFormatPr defaultRowHeight="14.4" x14ac:dyDescent="0.3"/>
  <cols>
    <col min="1" max="1" width="11.6640625" customWidth="1"/>
    <col min="2" max="2" width="24.109375" customWidth="1"/>
    <col min="3" max="3" width="18.77734375" customWidth="1"/>
    <col min="4" max="4" width="19.109375" customWidth="1"/>
    <col min="5" max="5" width="12.88671875" customWidth="1"/>
    <col min="6" max="6" width="11.33203125" customWidth="1"/>
    <col min="7" max="7" width="11.77734375" customWidth="1"/>
    <col min="8" max="8" width="13.77734375" customWidth="1"/>
    <col min="9" max="9" width="13.6640625" customWidth="1"/>
    <col min="10" max="10" width="11.21875" customWidth="1"/>
    <col min="11" max="11" width="18" customWidth="1"/>
    <col min="12" max="12" width="16.6640625" customWidth="1"/>
    <col min="13" max="13" width="16.33203125" customWidth="1"/>
  </cols>
  <sheetData>
    <row r="1" spans="1:12" ht="34.799999999999997" customHeight="1" thickBot="1" x14ac:dyDescent="0.4">
      <c r="A1" s="7" t="s">
        <v>50</v>
      </c>
      <c r="B1" s="8" t="s">
        <v>49</v>
      </c>
      <c r="C1" s="8" t="s">
        <v>0</v>
      </c>
      <c r="D1" s="8" t="s">
        <v>2</v>
      </c>
      <c r="E1" s="8" t="s">
        <v>6</v>
      </c>
      <c r="F1" s="8" t="s">
        <v>48</v>
      </c>
      <c r="G1" s="8" t="s">
        <v>46</v>
      </c>
      <c r="H1" s="8" t="s">
        <v>41</v>
      </c>
      <c r="I1" s="8" t="s">
        <v>44</v>
      </c>
      <c r="J1" s="8" t="s">
        <v>51</v>
      </c>
      <c r="K1" s="8" t="s">
        <v>47</v>
      </c>
      <c r="L1" s="9" t="s">
        <v>1</v>
      </c>
    </row>
    <row r="2" spans="1:12" ht="19.5" customHeight="1" x14ac:dyDescent="0.3">
      <c r="A2" s="10" t="str">
        <f t="shared" ref="A2:A27" si="0">"TOT"&amp;TEXT(ROW(A2)-1,"000")</f>
        <v>TOT001</v>
      </c>
      <c r="B2" s="11" t="s">
        <v>45</v>
      </c>
      <c r="C2" s="23" t="s">
        <v>7</v>
      </c>
      <c r="D2" s="24" t="s">
        <v>52</v>
      </c>
      <c r="E2" s="25">
        <f>DATE(1999,10,7)</f>
        <v>36440</v>
      </c>
      <c r="F2" s="26">
        <f t="shared" ref="F2:F27" ca="1" si="1">DATEDIF(E2, TODAY(), "y")</f>
        <v>26</v>
      </c>
      <c r="G2" s="27">
        <v>1.94</v>
      </c>
      <c r="H2" s="24" t="s">
        <v>42</v>
      </c>
      <c r="I2" s="28">
        <v>75000</v>
      </c>
      <c r="J2" s="24">
        <v>52</v>
      </c>
      <c r="K2" s="28">
        <f t="shared" ref="K2:K27" si="2">PRODUCT(I2,J2)</f>
        <v>3900000</v>
      </c>
      <c r="L2" s="29">
        <v>30000000</v>
      </c>
    </row>
    <row r="3" spans="1:12" ht="19.5" customHeight="1" x14ac:dyDescent="0.3">
      <c r="A3" s="30" t="str">
        <f t="shared" si="0"/>
        <v>TOT002</v>
      </c>
      <c r="B3" s="12" t="s">
        <v>8</v>
      </c>
      <c r="C3" s="31" t="s">
        <v>11</v>
      </c>
      <c r="D3" s="13" t="s">
        <v>54</v>
      </c>
      <c r="E3" s="32">
        <f>DATE(2001,4,19)</f>
        <v>37000</v>
      </c>
      <c r="F3" s="33">
        <f t="shared" ca="1" si="1"/>
        <v>25</v>
      </c>
      <c r="G3" s="34">
        <v>1.93</v>
      </c>
      <c r="H3" s="13" t="s">
        <v>43</v>
      </c>
      <c r="I3" s="35">
        <v>90000</v>
      </c>
      <c r="J3" s="13">
        <v>52</v>
      </c>
      <c r="K3" s="35">
        <f t="shared" si="2"/>
        <v>4680000</v>
      </c>
      <c r="L3" s="36">
        <v>65000000</v>
      </c>
    </row>
    <row r="4" spans="1:12" ht="19.5" customHeight="1" x14ac:dyDescent="0.3">
      <c r="A4" s="37" t="str">
        <f t="shared" si="0"/>
        <v>TOT003</v>
      </c>
      <c r="B4" s="14" t="s">
        <v>10</v>
      </c>
      <c r="C4" s="23" t="s">
        <v>11</v>
      </c>
      <c r="D4" s="15" t="s">
        <v>55</v>
      </c>
      <c r="E4" s="38">
        <f>DATE(1998,4,27)</f>
        <v>35912</v>
      </c>
      <c r="F4" s="33">
        <f t="shared" ca="1" si="1"/>
        <v>28</v>
      </c>
      <c r="G4" s="39">
        <v>1.85</v>
      </c>
      <c r="H4" s="15" t="s">
        <v>42</v>
      </c>
      <c r="I4" s="40">
        <v>195000</v>
      </c>
      <c r="J4" s="15">
        <v>52</v>
      </c>
      <c r="K4" s="40">
        <f t="shared" si="2"/>
        <v>10140000</v>
      </c>
      <c r="L4" s="41">
        <v>60000000</v>
      </c>
    </row>
    <row r="5" spans="1:12" ht="19.5" customHeight="1" x14ac:dyDescent="0.3">
      <c r="A5" s="16" t="str">
        <f t="shared" si="0"/>
        <v>TOT004</v>
      </c>
      <c r="B5" s="17" t="s">
        <v>12</v>
      </c>
      <c r="C5" s="31" t="s">
        <v>9</v>
      </c>
      <c r="D5" s="13" t="s">
        <v>56</v>
      </c>
      <c r="E5" s="32">
        <f>DATE(2002,2,3)</f>
        <v>37290</v>
      </c>
      <c r="F5" s="33">
        <f t="shared" ca="1" si="1"/>
        <v>24</v>
      </c>
      <c r="G5" s="34">
        <v>1.91</v>
      </c>
      <c r="H5" s="13" t="s">
        <v>42</v>
      </c>
      <c r="I5" s="35">
        <v>65000</v>
      </c>
      <c r="J5" s="13">
        <v>52</v>
      </c>
      <c r="K5" s="35">
        <f>PRODUCT(I5,J5)</f>
        <v>3380000</v>
      </c>
      <c r="L5" s="36">
        <v>22000000</v>
      </c>
    </row>
    <row r="6" spans="1:12" ht="19.5" customHeight="1" x14ac:dyDescent="0.3">
      <c r="A6" s="18" t="str">
        <f t="shared" si="0"/>
        <v>TOT005</v>
      </c>
      <c r="B6" s="19" t="s">
        <v>13</v>
      </c>
      <c r="C6" s="23" t="s">
        <v>9</v>
      </c>
      <c r="D6" s="15" t="s">
        <v>57</v>
      </c>
      <c r="E6" s="38">
        <f>DATE(1998,9,19)</f>
        <v>36057</v>
      </c>
      <c r="F6" s="33">
        <f t="shared" ca="1" si="1"/>
        <v>27</v>
      </c>
      <c r="G6" s="39">
        <v>1.9</v>
      </c>
      <c r="H6" s="15" t="s">
        <v>42</v>
      </c>
      <c r="I6" s="40">
        <v>85000</v>
      </c>
      <c r="J6" s="15">
        <v>52</v>
      </c>
      <c r="K6" s="40">
        <f t="shared" si="2"/>
        <v>4420000</v>
      </c>
      <c r="L6" s="41">
        <v>22000000</v>
      </c>
    </row>
    <row r="7" spans="1:12" ht="19.5" customHeight="1" x14ac:dyDescent="0.3">
      <c r="A7" s="16" t="str">
        <f t="shared" si="0"/>
        <v>TOT006</v>
      </c>
      <c r="B7" s="17" t="s">
        <v>14</v>
      </c>
      <c r="C7" s="31" t="s">
        <v>9</v>
      </c>
      <c r="D7" s="13" t="s">
        <v>58</v>
      </c>
      <c r="E7" s="32">
        <f>DATE(1993,4,24)</f>
        <v>34083</v>
      </c>
      <c r="F7" s="33">
        <f t="shared" ca="1" si="1"/>
        <v>33</v>
      </c>
      <c r="G7" s="34">
        <v>1.81</v>
      </c>
      <c r="H7" s="13" t="s">
        <v>43</v>
      </c>
      <c r="I7" s="35">
        <v>80000</v>
      </c>
      <c r="J7" s="13">
        <v>52</v>
      </c>
      <c r="K7" s="35">
        <f t="shared" si="2"/>
        <v>4160000</v>
      </c>
      <c r="L7" s="36">
        <v>5000000</v>
      </c>
    </row>
    <row r="8" spans="1:12" ht="19.5" customHeight="1" x14ac:dyDescent="0.3">
      <c r="A8" s="18" t="str">
        <f t="shared" si="0"/>
        <v>TOT007</v>
      </c>
      <c r="B8" s="19" t="s">
        <v>15</v>
      </c>
      <c r="C8" s="23" t="s">
        <v>17</v>
      </c>
      <c r="D8" s="15" t="s">
        <v>52</v>
      </c>
      <c r="E8" s="38">
        <f>DATE(2002,11,28)</f>
        <v>37588</v>
      </c>
      <c r="F8" s="33">
        <f t="shared" ca="1" si="1"/>
        <v>23</v>
      </c>
      <c r="G8" s="39">
        <v>1.88</v>
      </c>
      <c r="H8" s="15" t="s">
        <v>43</v>
      </c>
      <c r="I8" s="40">
        <v>75000</v>
      </c>
      <c r="J8" s="15">
        <v>52</v>
      </c>
      <c r="K8" s="40">
        <f t="shared" si="2"/>
        <v>3900000</v>
      </c>
      <c r="L8" s="41">
        <v>40000000</v>
      </c>
    </row>
    <row r="9" spans="1:12" ht="19.5" customHeight="1" x14ac:dyDescent="0.3">
      <c r="A9" s="16" t="str">
        <f t="shared" si="0"/>
        <v>TOT008</v>
      </c>
      <c r="B9" s="17" t="s">
        <v>16</v>
      </c>
      <c r="C9" s="31" t="s">
        <v>17</v>
      </c>
      <c r="D9" s="13" t="s">
        <v>53</v>
      </c>
      <c r="E9" s="32">
        <f>DATE(2000,8,9)</f>
        <v>36747</v>
      </c>
      <c r="F9" s="33">
        <f t="shared" ca="1" si="1"/>
        <v>25</v>
      </c>
      <c r="G9" s="34">
        <v>1.84</v>
      </c>
      <c r="H9" s="13" t="s">
        <v>42</v>
      </c>
      <c r="I9" s="35">
        <v>40000</v>
      </c>
      <c r="J9" s="13">
        <v>52</v>
      </c>
      <c r="K9" s="35">
        <f t="shared" si="2"/>
        <v>2080000</v>
      </c>
      <c r="L9" s="36">
        <v>32000000</v>
      </c>
    </row>
    <row r="10" spans="1:12" ht="19.5" customHeight="1" x14ac:dyDescent="0.3">
      <c r="A10" s="18" t="str">
        <f t="shared" si="0"/>
        <v>TOT009</v>
      </c>
      <c r="B10" s="71" t="s">
        <v>71</v>
      </c>
      <c r="C10" s="23" t="s">
        <v>17</v>
      </c>
      <c r="D10" s="15" t="s">
        <v>59</v>
      </c>
      <c r="E10" s="38">
        <f>DATE(2006,6,16)</f>
        <v>38884</v>
      </c>
      <c r="F10" s="33">
        <f t="shared" ca="1" si="1"/>
        <v>19</v>
      </c>
      <c r="G10" s="39">
        <v>1.83</v>
      </c>
      <c r="H10" s="15" t="s">
        <v>43</v>
      </c>
      <c r="I10" s="40">
        <v>25000</v>
      </c>
      <c r="J10" s="15">
        <v>52</v>
      </c>
      <c r="K10" s="40">
        <f t="shared" si="2"/>
        <v>1300000</v>
      </c>
      <c r="L10" s="41">
        <v>5000000</v>
      </c>
    </row>
    <row r="11" spans="1:12" ht="19.5" customHeight="1" x14ac:dyDescent="0.3">
      <c r="A11" s="16" t="str">
        <f t="shared" si="0"/>
        <v>TOT010</v>
      </c>
      <c r="B11" s="17" t="s">
        <v>18</v>
      </c>
      <c r="C11" s="31" t="s">
        <v>19</v>
      </c>
      <c r="D11" s="13" t="s">
        <v>60</v>
      </c>
      <c r="E11" s="32">
        <f>DATE(1999,9,13)</f>
        <v>36416</v>
      </c>
      <c r="F11" s="33">
        <f t="shared" ca="1" si="1"/>
        <v>26</v>
      </c>
      <c r="G11" s="34">
        <v>1.73</v>
      </c>
      <c r="H11" s="13" t="s">
        <v>42</v>
      </c>
      <c r="I11" s="35">
        <v>85000</v>
      </c>
      <c r="J11" s="13">
        <v>52</v>
      </c>
      <c r="K11" s="35">
        <f t="shared" si="2"/>
        <v>4420000</v>
      </c>
      <c r="L11" s="36">
        <v>40000000</v>
      </c>
    </row>
    <row r="12" spans="1:12" ht="19.5" customHeight="1" x14ac:dyDescent="0.3">
      <c r="A12" s="18" t="str">
        <f t="shared" si="0"/>
        <v>TOT011</v>
      </c>
      <c r="B12" s="19" t="s">
        <v>20</v>
      </c>
      <c r="C12" s="23" t="s">
        <v>21</v>
      </c>
      <c r="D12" s="15" t="s">
        <v>61</v>
      </c>
      <c r="E12" s="38">
        <f>DATE(1997,9,25)</f>
        <v>35698</v>
      </c>
      <c r="F12" s="33">
        <f t="shared" ca="1" si="1"/>
        <v>28</v>
      </c>
      <c r="G12" s="39">
        <v>1.87</v>
      </c>
      <c r="H12" s="15" t="s">
        <v>42</v>
      </c>
      <c r="I12" s="40">
        <v>75000</v>
      </c>
      <c r="J12" s="15">
        <v>52</v>
      </c>
      <c r="K12" s="40">
        <f t="shared" si="2"/>
        <v>3900000</v>
      </c>
      <c r="L12" s="41">
        <v>27000000</v>
      </c>
    </row>
    <row r="13" spans="1:12" ht="19.5" customHeight="1" x14ac:dyDescent="0.3">
      <c r="A13" s="16" t="str">
        <f t="shared" si="0"/>
        <v>TOT012</v>
      </c>
      <c r="B13" s="17" t="s">
        <v>22</v>
      </c>
      <c r="C13" s="31" t="s">
        <v>21</v>
      </c>
      <c r="D13" s="13" t="s">
        <v>62</v>
      </c>
      <c r="E13" s="32">
        <f>DATE(1995,7,9)</f>
        <v>34889</v>
      </c>
      <c r="F13" s="33">
        <f t="shared" ca="1" si="1"/>
        <v>30</v>
      </c>
      <c r="G13" s="34">
        <v>1.9</v>
      </c>
      <c r="H13" s="13" t="s">
        <v>42</v>
      </c>
      <c r="I13" s="35">
        <v>135000</v>
      </c>
      <c r="J13" s="13">
        <v>52</v>
      </c>
      <c r="K13" s="35">
        <f t="shared" si="2"/>
        <v>7020000</v>
      </c>
      <c r="L13" s="36">
        <v>25000000</v>
      </c>
    </row>
    <row r="14" spans="1:12" ht="19.5" customHeight="1" x14ac:dyDescent="0.3">
      <c r="A14" s="18" t="str">
        <f t="shared" si="0"/>
        <v>TOT013</v>
      </c>
      <c r="B14" s="19" t="s">
        <v>23</v>
      </c>
      <c r="C14" s="23" t="s">
        <v>21</v>
      </c>
      <c r="D14" s="15" t="s">
        <v>63</v>
      </c>
      <c r="E14" s="38">
        <f>DATE(1996,7,9)</f>
        <v>35255</v>
      </c>
      <c r="F14" s="33">
        <f t="shared" ca="1" si="1"/>
        <v>29</v>
      </c>
      <c r="G14" s="39">
        <v>1.82</v>
      </c>
      <c r="H14" s="15" t="s">
        <v>42</v>
      </c>
      <c r="I14" s="40">
        <v>55000</v>
      </c>
      <c r="J14" s="15">
        <v>52</v>
      </c>
      <c r="K14" s="40">
        <f t="shared" si="2"/>
        <v>2860000</v>
      </c>
      <c r="L14" s="41">
        <v>15000000</v>
      </c>
    </row>
    <row r="15" spans="1:12" ht="19.5" customHeight="1" x14ac:dyDescent="0.3">
      <c r="A15" s="16" t="str">
        <f t="shared" si="0"/>
        <v>TOT014</v>
      </c>
      <c r="B15" s="17" t="s">
        <v>24</v>
      </c>
      <c r="C15" s="31" t="s">
        <v>25</v>
      </c>
      <c r="D15" s="13" t="s">
        <v>64</v>
      </c>
      <c r="E15" s="32">
        <f>DATE(2006,2,2)</f>
        <v>38750</v>
      </c>
      <c r="F15" s="33">
        <f t="shared" ca="1" si="1"/>
        <v>20</v>
      </c>
      <c r="G15" s="34">
        <v>1.87</v>
      </c>
      <c r="H15" s="13" t="s">
        <v>42</v>
      </c>
      <c r="I15" s="35">
        <v>60000</v>
      </c>
      <c r="J15" s="13">
        <v>52</v>
      </c>
      <c r="K15" s="35">
        <f t="shared" si="2"/>
        <v>3120000</v>
      </c>
      <c r="L15" s="36">
        <v>40000000</v>
      </c>
    </row>
    <row r="16" spans="1:12" ht="19.5" customHeight="1" x14ac:dyDescent="0.3">
      <c r="A16" s="18" t="str">
        <f t="shared" si="0"/>
        <v>TOT015</v>
      </c>
      <c r="B16" s="19" t="s">
        <v>26</v>
      </c>
      <c r="C16" s="23" t="s">
        <v>25</v>
      </c>
      <c r="D16" s="15" t="s">
        <v>53</v>
      </c>
      <c r="E16" s="38">
        <f>DATE(2006,3,12)</f>
        <v>38788</v>
      </c>
      <c r="F16" s="33">
        <f t="shared" ca="1" si="1"/>
        <v>20</v>
      </c>
      <c r="G16" s="39">
        <v>1.87</v>
      </c>
      <c r="H16" s="15" t="s">
        <v>42</v>
      </c>
      <c r="I16" s="40">
        <v>75000</v>
      </c>
      <c r="J16" s="15">
        <v>52</v>
      </c>
      <c r="K16" s="40">
        <f t="shared" si="2"/>
        <v>3900000</v>
      </c>
      <c r="L16" s="41">
        <v>35000000</v>
      </c>
    </row>
    <row r="17" spans="1:12" ht="19.5" customHeight="1" x14ac:dyDescent="0.3">
      <c r="A17" s="16" t="str">
        <f t="shared" si="0"/>
        <v>TOT016</v>
      </c>
      <c r="B17" s="17" t="s">
        <v>27</v>
      </c>
      <c r="C17" s="31" t="s">
        <v>25</v>
      </c>
      <c r="D17" s="13" t="s">
        <v>53</v>
      </c>
      <c r="E17" s="32">
        <f>DATE(2000,2,6)</f>
        <v>36562</v>
      </c>
      <c r="F17" s="33">
        <f t="shared" ca="1" si="1"/>
        <v>26</v>
      </c>
      <c r="G17" s="34">
        <v>1.82</v>
      </c>
      <c r="H17" s="13" t="s">
        <v>42</v>
      </c>
      <c r="I17" s="35">
        <v>160000</v>
      </c>
      <c r="J17" s="13">
        <v>52</v>
      </c>
      <c r="K17" s="35">
        <f t="shared" si="2"/>
        <v>8320000</v>
      </c>
      <c r="L17" s="36">
        <v>35000000</v>
      </c>
    </row>
    <row r="18" spans="1:12" ht="19.5" customHeight="1" x14ac:dyDescent="0.3">
      <c r="A18" s="18" t="str">
        <f t="shared" si="0"/>
        <v>TOT017</v>
      </c>
      <c r="B18" s="19" t="s">
        <v>28</v>
      </c>
      <c r="C18" s="23" t="s">
        <v>25</v>
      </c>
      <c r="D18" s="15" t="s">
        <v>65</v>
      </c>
      <c r="E18" s="38">
        <f>DATE(2002,9,14)</f>
        <v>37513</v>
      </c>
      <c r="F18" s="33">
        <f t="shared" ca="1" si="1"/>
        <v>23</v>
      </c>
      <c r="G18" s="39">
        <v>1.84</v>
      </c>
      <c r="H18" s="15" t="s">
        <v>42</v>
      </c>
      <c r="I18" s="40">
        <v>70000</v>
      </c>
      <c r="J18" s="15">
        <v>52</v>
      </c>
      <c r="K18" s="40">
        <f t="shared" si="2"/>
        <v>3640000</v>
      </c>
      <c r="L18" s="41">
        <v>35000000</v>
      </c>
    </row>
    <row r="19" spans="1:12" ht="19.5" customHeight="1" x14ac:dyDescent="0.3">
      <c r="A19" s="16" t="str">
        <f t="shared" si="0"/>
        <v>TOT018</v>
      </c>
      <c r="B19" s="17" t="s">
        <v>29</v>
      </c>
      <c r="C19" s="31" t="s">
        <v>30</v>
      </c>
      <c r="D19" s="13" t="s">
        <v>54</v>
      </c>
      <c r="E19" s="32">
        <f>DATE(2003,4,21)</f>
        <v>37732</v>
      </c>
      <c r="F19" s="33">
        <f t="shared" ca="1" si="1"/>
        <v>23</v>
      </c>
      <c r="G19" s="34">
        <v>1.79</v>
      </c>
      <c r="H19" s="13" t="s">
        <v>42</v>
      </c>
      <c r="I19" s="35">
        <v>195000</v>
      </c>
      <c r="J19" s="13">
        <v>52</v>
      </c>
      <c r="K19" s="35">
        <f t="shared" si="2"/>
        <v>10140000</v>
      </c>
      <c r="L19" s="36">
        <v>60000000</v>
      </c>
    </row>
    <row r="20" spans="1:12" ht="19.5" customHeight="1" x14ac:dyDescent="0.3">
      <c r="A20" s="18" t="str">
        <f t="shared" si="0"/>
        <v>TOT019</v>
      </c>
      <c r="B20" s="19" t="s">
        <v>31</v>
      </c>
      <c r="C20" s="23" t="s">
        <v>30</v>
      </c>
      <c r="D20" s="15" t="s">
        <v>64</v>
      </c>
      <c r="E20" s="38">
        <f>DATE(2000,4,25)</f>
        <v>36641</v>
      </c>
      <c r="F20" s="33">
        <f t="shared" ca="1" si="1"/>
        <v>26</v>
      </c>
      <c r="G20" s="39">
        <v>1.86</v>
      </c>
      <c r="H20" s="15" t="s">
        <v>43</v>
      </c>
      <c r="I20" s="40">
        <v>110000</v>
      </c>
      <c r="J20" s="15">
        <v>52</v>
      </c>
      <c r="K20" s="40">
        <f t="shared" si="2"/>
        <v>5720000</v>
      </c>
      <c r="L20" s="41">
        <v>45000000</v>
      </c>
    </row>
    <row r="21" spans="1:12" ht="19.5" customHeight="1" x14ac:dyDescent="0.3">
      <c r="A21" s="16" t="str">
        <f t="shared" si="0"/>
        <v>TOT020</v>
      </c>
      <c r="B21" s="17" t="s">
        <v>32</v>
      </c>
      <c r="C21" s="31" t="s">
        <v>30</v>
      </c>
      <c r="D21" s="13" t="s">
        <v>53</v>
      </c>
      <c r="E21" s="32">
        <f>DATE(1996,11,23)</f>
        <v>35392</v>
      </c>
      <c r="F21" s="33">
        <f t="shared" ca="1" si="1"/>
        <v>29</v>
      </c>
      <c r="G21" s="34">
        <v>1.75</v>
      </c>
      <c r="H21" s="13" t="s">
        <v>42</v>
      </c>
      <c r="I21" s="35">
        <v>170000</v>
      </c>
      <c r="J21" s="13">
        <v>52</v>
      </c>
      <c r="K21" s="35">
        <f t="shared" si="2"/>
        <v>8840000</v>
      </c>
      <c r="L21" s="36">
        <v>30000000</v>
      </c>
    </row>
    <row r="22" spans="1:12" ht="19.5" customHeight="1" x14ac:dyDescent="0.3">
      <c r="A22" s="18" t="str">
        <f t="shared" si="0"/>
        <v>TOT021</v>
      </c>
      <c r="B22" s="19" t="s">
        <v>33</v>
      </c>
      <c r="C22" s="23" t="s">
        <v>34</v>
      </c>
      <c r="D22" s="15" t="s">
        <v>66</v>
      </c>
      <c r="E22" s="38">
        <f>DATE(2004,11,28)</f>
        <v>38319</v>
      </c>
      <c r="F22" s="33">
        <f t="shared" ca="1" si="1"/>
        <v>21</v>
      </c>
      <c r="G22" s="39">
        <v>1.82</v>
      </c>
      <c r="H22" s="15" t="s">
        <v>42</v>
      </c>
      <c r="I22" s="40">
        <v>40000</v>
      </c>
      <c r="J22" s="15">
        <v>52</v>
      </c>
      <c r="K22" s="40">
        <f t="shared" si="2"/>
        <v>2080000</v>
      </c>
      <c r="L22" s="41">
        <v>22000000</v>
      </c>
    </row>
    <row r="23" spans="1:12" ht="19.5" customHeight="1" x14ac:dyDescent="0.3">
      <c r="A23" s="16" t="str">
        <f t="shared" si="0"/>
        <v>TOT022</v>
      </c>
      <c r="B23" s="17" t="s">
        <v>35</v>
      </c>
      <c r="C23" s="31" t="s">
        <v>36</v>
      </c>
      <c r="D23" s="13" t="s">
        <v>67</v>
      </c>
      <c r="E23" s="32">
        <f>DATE(2000,8,2)</f>
        <v>36740</v>
      </c>
      <c r="F23" s="33">
        <f t="shared" ca="1" si="1"/>
        <v>25</v>
      </c>
      <c r="G23" s="34">
        <v>1.77</v>
      </c>
      <c r="H23" s="13" t="s">
        <v>43</v>
      </c>
      <c r="I23" s="35">
        <v>150000</v>
      </c>
      <c r="J23" s="13">
        <v>52</v>
      </c>
      <c r="K23" s="35">
        <f t="shared" si="2"/>
        <v>7800000</v>
      </c>
      <c r="L23" s="36">
        <v>55000000</v>
      </c>
    </row>
    <row r="24" spans="1:12" ht="19.5" customHeight="1" x14ac:dyDescent="0.3">
      <c r="A24" s="18" t="str">
        <f t="shared" si="0"/>
        <v>TOT023</v>
      </c>
      <c r="B24" s="19" t="s">
        <v>37</v>
      </c>
      <c r="C24" s="23" t="s">
        <v>38</v>
      </c>
      <c r="D24" s="15" t="s">
        <v>53</v>
      </c>
      <c r="E24" s="38">
        <f>DATE(1997,9,14)</f>
        <v>35687</v>
      </c>
      <c r="F24" s="33">
        <f t="shared" ca="1" si="1"/>
        <v>28</v>
      </c>
      <c r="G24" s="39">
        <v>1.86</v>
      </c>
      <c r="H24" s="15" t="s">
        <v>42</v>
      </c>
      <c r="I24" s="40">
        <v>140000</v>
      </c>
      <c r="J24" s="15">
        <v>52</v>
      </c>
      <c r="K24" s="40">
        <f t="shared" si="2"/>
        <v>7280000</v>
      </c>
      <c r="L24" s="41">
        <v>35000000</v>
      </c>
    </row>
    <row r="25" spans="1:12" ht="19.5" customHeight="1" x14ac:dyDescent="0.3">
      <c r="A25" s="16" t="str">
        <f t="shared" si="0"/>
        <v>TOT024</v>
      </c>
      <c r="B25" s="17" t="s">
        <v>39</v>
      </c>
      <c r="C25" s="31" t="s">
        <v>38</v>
      </c>
      <c r="D25" s="13" t="s">
        <v>66</v>
      </c>
      <c r="E25" s="32">
        <f>DATE(2005,4,27)</f>
        <v>38469</v>
      </c>
      <c r="F25" s="33">
        <f t="shared" ca="1" si="1"/>
        <v>21</v>
      </c>
      <c r="G25" s="34">
        <v>1.83</v>
      </c>
      <c r="H25" s="13" t="s">
        <v>42</v>
      </c>
      <c r="I25" s="35">
        <v>55000</v>
      </c>
      <c r="J25" s="13">
        <v>52</v>
      </c>
      <c r="K25" s="35">
        <f t="shared" si="2"/>
        <v>2860000</v>
      </c>
      <c r="L25" s="36">
        <v>30000000</v>
      </c>
    </row>
    <row r="26" spans="1:12" ht="19.5" customHeight="1" x14ac:dyDescent="0.3">
      <c r="A26" s="18" t="str">
        <f t="shared" si="0"/>
        <v>TOT025</v>
      </c>
      <c r="B26" s="19" t="s">
        <v>68</v>
      </c>
      <c r="C26" s="23" t="s">
        <v>38</v>
      </c>
      <c r="D26" s="15" t="s">
        <v>59</v>
      </c>
      <c r="E26" s="38">
        <f>DATE(1997,5,10)</f>
        <v>35560</v>
      </c>
      <c r="F26" s="33">
        <f t="shared" ca="1" si="1"/>
        <v>29</v>
      </c>
      <c r="G26" s="39">
        <v>1.84</v>
      </c>
      <c r="H26" s="15" t="s">
        <v>42</v>
      </c>
      <c r="I26" s="40">
        <v>90000</v>
      </c>
      <c r="J26" s="15">
        <v>52</v>
      </c>
      <c r="K26" s="40">
        <f t="shared" si="2"/>
        <v>4680000</v>
      </c>
      <c r="L26" s="41">
        <v>28000000</v>
      </c>
    </row>
    <row r="27" spans="1:12" ht="19.5" customHeight="1" thickBot="1" x14ac:dyDescent="0.35">
      <c r="A27" s="20" t="str">
        <f t="shared" si="0"/>
        <v>TOT026</v>
      </c>
      <c r="B27" s="21" t="s">
        <v>40</v>
      </c>
      <c r="C27" s="42" t="s">
        <v>38</v>
      </c>
      <c r="D27" s="22" t="s">
        <v>66</v>
      </c>
      <c r="E27" s="43">
        <f>DATE(1998,12,5)</f>
        <v>36134</v>
      </c>
      <c r="F27" s="33">
        <f t="shared" ca="1" si="1"/>
        <v>27</v>
      </c>
      <c r="G27" s="44">
        <v>1.87</v>
      </c>
      <c r="H27" s="22" t="s">
        <v>42</v>
      </c>
      <c r="I27" s="45">
        <v>150000</v>
      </c>
      <c r="J27" s="22">
        <v>52</v>
      </c>
      <c r="K27" s="45">
        <f t="shared" si="2"/>
        <v>7800000</v>
      </c>
      <c r="L27" s="46">
        <v>25000000</v>
      </c>
    </row>
    <row r="28" spans="1:12" ht="16.95" customHeight="1" x14ac:dyDescent="0.3">
      <c r="J28" s="1"/>
    </row>
    <row r="29" spans="1:12" x14ac:dyDescent="0.3">
      <c r="J29" s="1"/>
    </row>
    <row r="30" spans="1:12" x14ac:dyDescent="0.3">
      <c r="J30" s="1"/>
    </row>
    <row r="31" spans="1:12" x14ac:dyDescent="0.3">
      <c r="J31" s="1"/>
    </row>
    <row r="32" spans="1:12" x14ac:dyDescent="0.3">
      <c r="J32" s="1"/>
    </row>
    <row r="33" spans="10:10" x14ac:dyDescent="0.3">
      <c r="J33" s="1"/>
    </row>
    <row r="34" spans="10:10" x14ac:dyDescent="0.3">
      <c r="J34" s="1"/>
    </row>
    <row r="35" spans="10:10" x14ac:dyDescent="0.3">
      <c r="J35" s="1"/>
    </row>
    <row r="36" spans="10:10" x14ac:dyDescent="0.3">
      <c r="J36" s="1"/>
    </row>
    <row r="37" spans="10:10" x14ac:dyDescent="0.3">
      <c r="J37" s="1"/>
    </row>
    <row r="38" spans="10:10" x14ac:dyDescent="0.3">
      <c r="J38" s="1"/>
    </row>
    <row r="39" spans="10:10" x14ac:dyDescent="0.3">
      <c r="J39" s="1"/>
    </row>
    <row r="40" spans="10:10" x14ac:dyDescent="0.3">
      <c r="J40" s="1"/>
    </row>
    <row r="41" spans="10:10" x14ac:dyDescent="0.3">
      <c r="J41" s="1"/>
    </row>
    <row r="42" spans="10:10" x14ac:dyDescent="0.3">
      <c r="J42" s="1"/>
    </row>
    <row r="43" spans="10:10" x14ac:dyDescent="0.3">
      <c r="J43" s="1"/>
    </row>
    <row r="44" spans="10:10" x14ac:dyDescent="0.3">
      <c r="J44" s="1"/>
    </row>
    <row r="45" spans="10:10" x14ac:dyDescent="0.3">
      <c r="J45" s="1"/>
    </row>
    <row r="46" spans="10:10" x14ac:dyDescent="0.3">
      <c r="J46" s="1"/>
    </row>
    <row r="47" spans="10:10" x14ac:dyDescent="0.3">
      <c r="J47" s="1"/>
    </row>
    <row r="48" spans="10:10" x14ac:dyDescent="0.3">
      <c r="J48" s="1"/>
    </row>
    <row r="49" spans="10:10" x14ac:dyDescent="0.3">
      <c r="J49" s="1"/>
    </row>
    <row r="50" spans="10:10" x14ac:dyDescent="0.3">
      <c r="J50" s="1"/>
    </row>
  </sheetData>
  <conditionalFormatting sqref="G2:G27">
    <cfRule type="cellIs" dxfId="13" priority="2" operator="between">
      <formula>1.9</formula>
      <formula>1.95</formula>
    </cfRule>
    <cfRule type="cellIs" dxfId="12" priority="3" operator="between">
      <formula>1.85</formula>
      <formula>1.9</formula>
    </cfRule>
    <cfRule type="cellIs" dxfId="11" priority="4" operator="between">
      <formula>1.8</formula>
      <formula>1.85</formula>
    </cfRule>
    <cfRule type="cellIs" dxfId="10" priority="5" operator="between">
      <formula>1.75</formula>
      <formula>1.8</formula>
    </cfRule>
    <cfRule type="cellIs" dxfId="9" priority="6" operator="between">
      <formula>1.73</formula>
      <formula>1.75</formula>
    </cfRule>
    <cfRule type="cellIs" dxfId="8" priority="9" operator="between">
      <formula>"1,85"</formula>
      <formula>"1,90"</formula>
    </cfRule>
    <cfRule type="cellIs" dxfId="7" priority="10" operator="between">
      <formula>"1,80"</formula>
      <formula>"1,85"</formula>
    </cfRule>
    <cfRule type="cellIs" dxfId="6" priority="11" operator="between">
      <formula>"1,75"</formula>
      <formula>"1,80"</formula>
    </cfRule>
  </conditionalFormatting>
  <conditionalFormatting sqref="G3:G5">
    <cfRule type="cellIs" dxfId="5" priority="8" operator="between">
      <formula>"1,90"</formula>
      <formula>"1,95"</formula>
    </cfRule>
  </conditionalFormatting>
  <conditionalFormatting sqref="H2:H27">
    <cfRule type="containsText" dxfId="4" priority="79" operator="containsText" text="left">
      <formula>NOT(ISERROR(SEARCH("left",H2)))</formula>
    </cfRule>
    <cfRule type="duplicateValues" priority="80"/>
  </conditionalFormatting>
  <conditionalFormatting sqref="K2:K27">
    <cfRule type="top10" dxfId="3" priority="83" rank="10"/>
  </conditionalFormatting>
  <conditionalFormatting sqref="L2:L27">
    <cfRule type="top10" dxfId="2" priority="85" rank="10"/>
    <cfRule type="top10" dxfId="1" priority="86" rank="10"/>
    <cfRule type="top10" dxfId="0" priority="87" percent="1" rank="10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BE40E-1E42-43C0-8ADF-6ED821EFF3D5}">
  <dimension ref="A1:G29"/>
  <sheetViews>
    <sheetView zoomScale="88" zoomScaleNormal="88" workbookViewId="0">
      <selection activeCell="H3" sqref="H3"/>
    </sheetView>
  </sheetViews>
  <sheetFormatPr defaultRowHeight="14.4" x14ac:dyDescent="0.3"/>
  <cols>
    <col min="1" max="1" width="14.77734375" customWidth="1"/>
    <col min="2" max="2" width="26.88671875" customWidth="1"/>
    <col min="3" max="3" width="15.6640625" customWidth="1"/>
    <col min="4" max="4" width="15.21875" customWidth="1"/>
    <col min="5" max="5" width="15.6640625" customWidth="1"/>
    <col min="6" max="6" width="13.44140625" customWidth="1"/>
    <col min="7" max="7" width="17.21875" customWidth="1"/>
    <col min="8" max="8" width="19" customWidth="1"/>
  </cols>
  <sheetData>
    <row r="1" spans="1:7" ht="34.799999999999997" customHeight="1" thickBot="1" x14ac:dyDescent="0.35">
      <c r="A1" s="2" t="s">
        <v>50</v>
      </c>
      <c r="B1" s="3" t="s">
        <v>49</v>
      </c>
      <c r="C1" s="4" t="s">
        <v>5</v>
      </c>
      <c r="D1" s="5" t="s">
        <v>3</v>
      </c>
      <c r="E1" s="3" t="s">
        <v>4</v>
      </c>
      <c r="F1" s="3" t="s">
        <v>69</v>
      </c>
      <c r="G1" s="6" t="s">
        <v>70</v>
      </c>
    </row>
    <row r="2" spans="1:7" ht="19.5" customHeight="1" x14ac:dyDescent="0.35">
      <c r="A2" s="47" t="str">
        <f t="shared" ref="A2:A27" si="0">"TOT"&amp;TEXT(ROW(A2)-1,"000")</f>
        <v>TOT001</v>
      </c>
      <c r="B2" s="48" t="s">
        <v>45</v>
      </c>
      <c r="C2" s="49">
        <v>31</v>
      </c>
      <c r="D2" s="49">
        <v>0</v>
      </c>
      <c r="E2" s="50">
        <v>0</v>
      </c>
      <c r="F2" s="50">
        <f>SUM(Table3[[#This Row],[Goals]:[Assists]])</f>
        <v>0</v>
      </c>
      <c r="G2" s="66">
        <v>82</v>
      </c>
    </row>
    <row r="3" spans="1:7" ht="19.5" customHeight="1" x14ac:dyDescent="0.35">
      <c r="A3" s="51" t="str">
        <f t="shared" si="0"/>
        <v>TOT002</v>
      </c>
      <c r="B3" s="52" t="s">
        <v>8</v>
      </c>
      <c r="C3" s="53">
        <v>29</v>
      </c>
      <c r="D3" s="53">
        <v>4</v>
      </c>
      <c r="E3" s="54">
        <v>1</v>
      </c>
      <c r="F3" s="54">
        <f>SUM(Table3[[#This Row],[Goals]:[Assists]])</f>
        <v>5</v>
      </c>
      <c r="G3" s="67">
        <v>82</v>
      </c>
    </row>
    <row r="4" spans="1:7" ht="19.5" customHeight="1" x14ac:dyDescent="0.35">
      <c r="A4" s="55" t="str">
        <f t="shared" si="0"/>
        <v>TOT003</v>
      </c>
      <c r="B4" s="56" t="s">
        <v>10</v>
      </c>
      <c r="C4" s="49">
        <v>24</v>
      </c>
      <c r="D4" s="49">
        <v>4</v>
      </c>
      <c r="E4" s="57">
        <v>1</v>
      </c>
      <c r="F4" s="54">
        <f>SUM(Table3[[#This Row],[Goals]:[Assists]])</f>
        <v>5</v>
      </c>
      <c r="G4" s="68">
        <v>82</v>
      </c>
    </row>
    <row r="5" spans="1:7" ht="19.5" customHeight="1" x14ac:dyDescent="0.35">
      <c r="A5" s="58" t="str">
        <f t="shared" si="0"/>
        <v>TOT004</v>
      </c>
      <c r="B5" s="59" t="s">
        <v>12</v>
      </c>
      <c r="C5" s="53">
        <v>8</v>
      </c>
      <c r="D5" s="53">
        <v>0</v>
      </c>
      <c r="E5" s="54">
        <v>0</v>
      </c>
      <c r="F5" s="54">
        <f>SUM(Table3[[#This Row],[Goals]:[Assists]])</f>
        <v>0</v>
      </c>
      <c r="G5" s="67">
        <v>75</v>
      </c>
    </row>
    <row r="6" spans="1:7" ht="19.5" customHeight="1" x14ac:dyDescent="0.35">
      <c r="A6" s="60" t="str">
        <f t="shared" si="0"/>
        <v>TOT005</v>
      </c>
      <c r="B6" s="61" t="s">
        <v>13</v>
      </c>
      <c r="C6" s="49">
        <v>18</v>
      </c>
      <c r="D6" s="49">
        <v>0</v>
      </c>
      <c r="E6" s="57">
        <v>0</v>
      </c>
      <c r="F6" s="54">
        <f>SUM(Table3[[#This Row],[Goals]:[Assists]])</f>
        <v>0</v>
      </c>
      <c r="G6" s="68">
        <v>79</v>
      </c>
    </row>
    <row r="7" spans="1:7" ht="19.5" customHeight="1" x14ac:dyDescent="0.35">
      <c r="A7" s="58" t="str">
        <f t="shared" si="0"/>
        <v>TOT006</v>
      </c>
      <c r="B7" s="59" t="s">
        <v>14</v>
      </c>
      <c r="C7" s="53">
        <v>3</v>
      </c>
      <c r="D7" s="53">
        <v>1</v>
      </c>
      <c r="E7" s="54">
        <v>0</v>
      </c>
      <c r="F7" s="54">
        <f>SUM(Table3[[#This Row],[Goals]:[Assists]])</f>
        <v>1</v>
      </c>
      <c r="G7" s="67">
        <v>75</v>
      </c>
    </row>
    <row r="8" spans="1:7" ht="19.5" customHeight="1" x14ac:dyDescent="0.35">
      <c r="A8" s="60" t="str">
        <f t="shared" si="0"/>
        <v>TOT007</v>
      </c>
      <c r="B8" s="61" t="s">
        <v>15</v>
      </c>
      <c r="C8" s="49">
        <v>15</v>
      </c>
      <c r="D8" s="49">
        <v>0</v>
      </c>
      <c r="E8" s="57">
        <v>1</v>
      </c>
      <c r="F8" s="54">
        <f>SUM(Table3[[#This Row],[Goals]:[Assists]])</f>
        <v>1</v>
      </c>
      <c r="G8" s="68">
        <v>80</v>
      </c>
    </row>
    <row r="9" spans="1:7" ht="19.5" customHeight="1" x14ac:dyDescent="0.35">
      <c r="A9" s="58" t="str">
        <f t="shared" si="0"/>
        <v>TOT008</v>
      </c>
      <c r="B9" s="59" t="s">
        <v>16</v>
      </c>
      <c r="C9" s="53">
        <v>24</v>
      </c>
      <c r="D9" s="53">
        <v>0</v>
      </c>
      <c r="E9" s="54">
        <v>0</v>
      </c>
      <c r="F9" s="54">
        <f>SUM(Table3[[#This Row],[Goals]:[Assists]])</f>
        <v>0</v>
      </c>
      <c r="G9" s="67">
        <v>78</v>
      </c>
    </row>
    <row r="10" spans="1:7" ht="19.5" customHeight="1" x14ac:dyDescent="0.35">
      <c r="A10" s="60" t="str">
        <f t="shared" si="0"/>
        <v>TOT009</v>
      </c>
      <c r="B10" s="70" t="s">
        <v>71</v>
      </c>
      <c r="C10" s="49">
        <v>4</v>
      </c>
      <c r="D10" s="49">
        <v>0</v>
      </c>
      <c r="E10" s="57">
        <v>0</v>
      </c>
      <c r="F10" s="54">
        <f>SUM(Table3[[#This Row],[Goals]:[Assists]])</f>
        <v>0</v>
      </c>
      <c r="G10" s="68">
        <v>70</v>
      </c>
    </row>
    <row r="11" spans="1:7" ht="19.5" customHeight="1" x14ac:dyDescent="0.35">
      <c r="A11" s="58" t="str">
        <f t="shared" si="0"/>
        <v>TOT010</v>
      </c>
      <c r="B11" s="59" t="s">
        <v>18</v>
      </c>
      <c r="C11" s="53">
        <v>28</v>
      </c>
      <c r="D11" s="53">
        <v>0</v>
      </c>
      <c r="E11" s="54">
        <v>2</v>
      </c>
      <c r="F11" s="54">
        <f>SUM(Table3[[#This Row],[Goals]:[Assists]])</f>
        <v>2</v>
      </c>
      <c r="G11" s="67">
        <v>82</v>
      </c>
    </row>
    <row r="12" spans="1:7" ht="19.5" customHeight="1" x14ac:dyDescent="0.35">
      <c r="A12" s="60" t="str">
        <f t="shared" si="0"/>
        <v>TOT011</v>
      </c>
      <c r="B12" s="61" t="s">
        <v>20</v>
      </c>
      <c r="C12" s="49">
        <v>20</v>
      </c>
      <c r="D12" s="49">
        <v>1</v>
      </c>
      <c r="E12" s="57">
        <v>1</v>
      </c>
      <c r="F12" s="54">
        <f>SUM(Table3[[#This Row],[Goals]:[Assists]])</f>
        <v>2</v>
      </c>
      <c r="G12" s="68">
        <v>80</v>
      </c>
    </row>
    <row r="13" spans="1:7" ht="19.5" customHeight="1" x14ac:dyDescent="0.35">
      <c r="A13" s="58" t="str">
        <f t="shared" si="0"/>
        <v>TOT012</v>
      </c>
      <c r="B13" s="59" t="s">
        <v>22</v>
      </c>
      <c r="C13" s="53">
        <v>27</v>
      </c>
      <c r="D13" s="53">
        <v>3</v>
      </c>
      <c r="E13" s="54">
        <v>2</v>
      </c>
      <c r="F13" s="54">
        <f>SUM(Table3[[#This Row],[Goals]:[Assists]])</f>
        <v>5</v>
      </c>
      <c r="G13" s="67">
        <v>83</v>
      </c>
    </row>
    <row r="14" spans="1:7" ht="19.5" customHeight="1" x14ac:dyDescent="0.35">
      <c r="A14" s="60" t="str">
        <f t="shared" si="0"/>
        <v>TOT013</v>
      </c>
      <c r="B14" s="61" t="s">
        <v>23</v>
      </c>
      <c r="C14" s="49">
        <v>8</v>
      </c>
      <c r="D14" s="49">
        <v>0</v>
      </c>
      <c r="E14" s="57">
        <v>0</v>
      </c>
      <c r="F14" s="54">
        <f>SUM(Table3[[#This Row],[Goals]:[Assists]])</f>
        <v>0</v>
      </c>
      <c r="G14" s="68">
        <v>78</v>
      </c>
    </row>
    <row r="15" spans="1:7" ht="19.5" customHeight="1" x14ac:dyDescent="0.35">
      <c r="A15" s="58" t="str">
        <f t="shared" si="0"/>
        <v>TOT014</v>
      </c>
      <c r="B15" s="59" t="s">
        <v>24</v>
      </c>
      <c r="C15" s="53">
        <v>19</v>
      </c>
      <c r="D15" s="53">
        <v>1</v>
      </c>
      <c r="E15" s="54">
        <v>2</v>
      </c>
      <c r="F15" s="54">
        <f>SUM(Table3[[#This Row],[Goals]:[Assists]])</f>
        <v>3</v>
      </c>
      <c r="G15" s="67">
        <v>77</v>
      </c>
    </row>
    <row r="16" spans="1:7" ht="19.5" customHeight="1" x14ac:dyDescent="0.35">
      <c r="A16" s="60" t="str">
        <f t="shared" si="0"/>
        <v>TOT015</v>
      </c>
      <c r="B16" s="61" t="s">
        <v>26</v>
      </c>
      <c r="C16" s="49">
        <v>22</v>
      </c>
      <c r="D16" s="49">
        <v>2</v>
      </c>
      <c r="E16" s="57">
        <v>2</v>
      </c>
      <c r="F16" s="54">
        <f>SUM(Table3[[#This Row],[Goals]:[Assists]])</f>
        <v>4</v>
      </c>
      <c r="G16" s="68">
        <v>75</v>
      </c>
    </row>
    <row r="17" spans="1:7" ht="19.5" customHeight="1" x14ac:dyDescent="0.35">
      <c r="A17" s="58" t="str">
        <f t="shared" si="0"/>
        <v>TOT016</v>
      </c>
      <c r="B17" s="59" t="s">
        <v>27</v>
      </c>
      <c r="C17" s="53">
        <v>10</v>
      </c>
      <c r="D17" s="53">
        <v>0</v>
      </c>
      <c r="E17" s="54">
        <v>1</v>
      </c>
      <c r="F17" s="54">
        <f>SUM(Table3[[#This Row],[Goals]:[Assists]])</f>
        <v>1</v>
      </c>
      <c r="G17" s="67">
        <v>81</v>
      </c>
    </row>
    <row r="18" spans="1:7" ht="19.5" customHeight="1" x14ac:dyDescent="0.35">
      <c r="A18" s="60" t="str">
        <f t="shared" si="0"/>
        <v>TOT017</v>
      </c>
      <c r="B18" s="61" t="s">
        <v>28</v>
      </c>
      <c r="C18" s="49">
        <v>23</v>
      </c>
      <c r="D18" s="49">
        <v>2</v>
      </c>
      <c r="E18" s="57">
        <v>3</v>
      </c>
      <c r="F18" s="54">
        <f>SUM(Table3[[#This Row],[Goals]:[Assists]])</f>
        <v>5</v>
      </c>
      <c r="G18" s="68">
        <v>79</v>
      </c>
    </row>
    <row r="19" spans="1:7" ht="19.5" customHeight="1" x14ac:dyDescent="0.35">
      <c r="A19" s="58" t="str">
        <f t="shared" si="0"/>
        <v>TOT018</v>
      </c>
      <c r="B19" s="59" t="s">
        <v>29</v>
      </c>
      <c r="C19" s="49">
        <v>26</v>
      </c>
      <c r="D19" s="53">
        <v>1</v>
      </c>
      <c r="E19" s="54">
        <v>4</v>
      </c>
      <c r="F19" s="54">
        <f>SUM(Table3[[#This Row],[Goals]:[Assists]])</f>
        <v>5</v>
      </c>
      <c r="G19" s="67">
        <v>84</v>
      </c>
    </row>
    <row r="20" spans="1:7" ht="19.5" customHeight="1" x14ac:dyDescent="0.35">
      <c r="A20" s="60" t="str">
        <f t="shared" si="0"/>
        <v>TOT019</v>
      </c>
      <c r="B20" s="61" t="s">
        <v>31</v>
      </c>
      <c r="C20" s="53">
        <v>0</v>
      </c>
      <c r="D20" s="49">
        <v>0</v>
      </c>
      <c r="E20" s="57">
        <v>0</v>
      </c>
      <c r="F20" s="54">
        <f>SUM(Table3[[#This Row],[Goals]:[Assists]])</f>
        <v>0</v>
      </c>
      <c r="G20" s="68">
        <v>83</v>
      </c>
    </row>
    <row r="21" spans="1:7" ht="19.5" customHeight="1" x14ac:dyDescent="0.35">
      <c r="A21" s="58" t="str">
        <f t="shared" si="0"/>
        <v>TOT020</v>
      </c>
      <c r="B21" s="59" t="s">
        <v>32</v>
      </c>
      <c r="C21" s="53">
        <v>0</v>
      </c>
      <c r="D21" s="53">
        <v>0</v>
      </c>
      <c r="E21" s="54">
        <v>0</v>
      </c>
      <c r="F21" s="54">
        <f>SUM(Table3[[#This Row],[Goals]:[Assists]])</f>
        <v>0</v>
      </c>
      <c r="G21" s="67">
        <v>84</v>
      </c>
    </row>
    <row r="22" spans="1:7" ht="19.5" customHeight="1" x14ac:dyDescent="0.35">
      <c r="A22" s="60" t="str">
        <f t="shared" si="0"/>
        <v>TOT021</v>
      </c>
      <c r="B22" s="61" t="s">
        <v>33</v>
      </c>
      <c r="C22" s="49">
        <v>24</v>
      </c>
      <c r="D22" s="49">
        <v>0</v>
      </c>
      <c r="E22" s="57">
        <v>2</v>
      </c>
      <c r="F22" s="54">
        <f>SUM(Table3[[#This Row],[Goals]:[Assists]])</f>
        <v>2</v>
      </c>
      <c r="G22" s="68">
        <v>75</v>
      </c>
    </row>
    <row r="23" spans="1:7" ht="19.5" customHeight="1" x14ac:dyDescent="0.35">
      <c r="A23" s="58" t="str">
        <f t="shared" si="0"/>
        <v>TOT022</v>
      </c>
      <c r="B23" s="59" t="s">
        <v>35</v>
      </c>
      <c r="C23" s="53">
        <v>19</v>
      </c>
      <c r="D23" s="53">
        <v>2</v>
      </c>
      <c r="E23" s="54">
        <v>5</v>
      </c>
      <c r="F23" s="54">
        <f>SUM(Table3[[#This Row],[Goals]:[Assists]])</f>
        <v>7</v>
      </c>
      <c r="G23" s="67">
        <v>80</v>
      </c>
    </row>
    <row r="24" spans="1:7" ht="19.5" customHeight="1" x14ac:dyDescent="0.35">
      <c r="A24" s="60" t="str">
        <f t="shared" si="0"/>
        <v>TOT023</v>
      </c>
      <c r="B24" s="61" t="s">
        <v>37</v>
      </c>
      <c r="C24" s="49">
        <v>13</v>
      </c>
      <c r="D24" s="49">
        <v>3</v>
      </c>
      <c r="E24" s="57">
        <v>0</v>
      </c>
      <c r="F24" s="54">
        <f>SUM(Table3[[#This Row],[Goals]:[Assists]])</f>
        <v>3</v>
      </c>
      <c r="G24" s="68">
        <v>80</v>
      </c>
    </row>
    <row r="25" spans="1:7" ht="19.5" customHeight="1" x14ac:dyDescent="0.35">
      <c r="A25" s="58" t="str">
        <f t="shared" si="0"/>
        <v>TOT024</v>
      </c>
      <c r="B25" s="59" t="s">
        <v>39</v>
      </c>
      <c r="C25" s="53">
        <v>25</v>
      </c>
      <c r="D25" s="53">
        <v>3</v>
      </c>
      <c r="E25" s="54">
        <v>0</v>
      </c>
      <c r="F25" s="54">
        <f>SUM(Table3[[#This Row],[Goals]:[Assists]])</f>
        <v>3</v>
      </c>
      <c r="G25" s="67">
        <v>77</v>
      </c>
    </row>
    <row r="26" spans="1:7" ht="19.5" customHeight="1" thickBot="1" x14ac:dyDescent="0.4">
      <c r="A26" s="60" t="str">
        <f t="shared" si="0"/>
        <v>TOT025</v>
      </c>
      <c r="B26" s="61" t="s">
        <v>68</v>
      </c>
      <c r="C26" s="49">
        <v>27</v>
      </c>
      <c r="D26" s="49">
        <v>9</v>
      </c>
      <c r="E26" s="57">
        <v>3</v>
      </c>
      <c r="F26" s="54">
        <f>SUM(Table3[[#This Row],[Goals]:[Assists]])</f>
        <v>12</v>
      </c>
      <c r="G26" s="69">
        <v>78</v>
      </c>
    </row>
    <row r="27" spans="1:7" ht="19.5" customHeight="1" thickBot="1" x14ac:dyDescent="0.4">
      <c r="A27" s="62" t="str">
        <f t="shared" si="0"/>
        <v>TOT026</v>
      </c>
      <c r="B27" s="63" t="s">
        <v>40</v>
      </c>
      <c r="C27" s="64">
        <v>24</v>
      </c>
      <c r="D27" s="64">
        <v>1</v>
      </c>
      <c r="E27" s="65">
        <v>1</v>
      </c>
      <c r="F27" s="54">
        <f>SUM(Table3[[#This Row],[Goals]:[Assists]])</f>
        <v>2</v>
      </c>
      <c r="G27" s="67">
        <v>81</v>
      </c>
    </row>
    <row r="28" spans="1:7" ht="16.95" customHeight="1" x14ac:dyDescent="0.3"/>
    <row r="29" spans="1:7" ht="16.95" customHeight="1" x14ac:dyDescent="0.3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19FFD3-ADE7-4DFB-99A1-E2A9F4D775C3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ca9a8b8c-3ea3-4799-a43e-5510398e7a3b}" enabled="0" method="" siteId="{ca9a8b8c-3ea3-4799-a43e-5510398e7a3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(Stats)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Raesibe Maponya</dc:creator>
  <cp:lastModifiedBy>Cathrine Raesibe Maponya</cp:lastModifiedBy>
  <dcterms:created xsi:type="dcterms:W3CDTF">2026-02-13T08:16:56Z</dcterms:created>
  <dcterms:modified xsi:type="dcterms:W3CDTF">2026-05-26T13:05:34Z</dcterms:modified>
</cp:coreProperties>
</file>